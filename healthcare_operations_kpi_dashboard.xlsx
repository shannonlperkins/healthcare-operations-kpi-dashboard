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887e5d45a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08404fd9924cb7"/>
    <x:sheet xmlns:r="http://schemas.openxmlformats.org/officeDocument/2006/relationships" name="Dashboard" sheetId="2" r:id="R8a4a57403b1c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"/>
    <x:numFmt numFmtId="201" formatCode="#,##0"/>
    <x:numFmt numFmtId="202" formatCode="0"/>
    <x:numFmt numFmtId="203" formatCode="0%"/>
    <x:numFmt numFmtId="204" formatCode="0&quot;%&quot;"/>
    <x:numFmt numFmtId="205" formatCode="$#,##0"/>
    <x:numFmt numFmtId="206" formatCode="0.0%"/>
    <x:numFmt numFmtId="207" formatCode="$0.000,,&quot;M&quot;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0"/>
      <x:color rgb="FF334155"/>
      <x:name val="Carlito"/>
    </x:font>
    <x:font>
      <x:b/>
      <x:sz val="18"/>
      <x:color rgb="FF0F172A"/>
      <x:name val="Carlito"/>
    </x:font>
    <x:font>
      <x:sz val="10"/>
      <x:color rgb="FF334155"/>
      <x:name val="Carlito"/>
    </x:font>
    <x:font>
      <x:i/>
      <x:sz val="9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4">
    <x:border/>
    <x:border/>
    <x:border>
      <x:bottom style="thin">
        <x:color rgb="FFCBD5E1"/>
      </x:bottom>
    </x:border>
    <x:border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bottom style="thin">
        <x:color rgb="FFE2E8F0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7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/>
    <x:xf numFmtId="0" fontId="5" fillId="6" borderId="11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201" fontId="5" fillId="6" borderId="4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5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2" xfId="0" applyNumberFormat="1" applyFont="1" applyFill="1" applyBorder="1" applyAlignment="1">
      <x:alignment horizontal="center" vertical="center"/>
    </x:xf>
    <x:xf numFmtId="201" fontId="5" fillId="6" borderId="7" xfId="0" applyNumberFormat="1" applyFont="1" applyFill="1" applyBorder="1" applyAlignment="1">
      <x:alignment horizontal="center" vertical="center"/>
    </x:xf>
    <x:xf numFmtId="201" fontId="5" fillId="6" borderId="8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1" fontId="5" fillId="6" borderId="10" xfId="0" applyNumberFormat="1" applyFont="1" applyFill="1" applyBorder="1" applyAlignment="1">
      <x:alignment horizontal="center" vertical="center"/>
    </x:xf>
    <x:xf numFmtId="201" fontId="5" fillId="6" borderId="3" xfId="0" applyNumberFormat="1" applyFont="1" applyFill="1" applyBorder="1" applyAlignment="1">
      <x:alignment horizontal="center" vertical="center"/>
    </x:xf>
    <x:xf numFmtId="201" fontId="5" fillId="6" borderId="11" xfId="0" applyNumberFormat="1" applyFont="1" applyFill="1" applyBorder="1" applyAlignment="1">
      <x:alignment horizontal="center" vertical="center"/>
    </x:xf>
    <x:xf numFmtId="206" fontId="5" fillId="6" borderId="4" xfId="0" applyNumberFormat="1" applyFont="1" applyFill="1" applyBorder="1" applyAlignment="1">
      <x:alignment horizontal="center" vertical="center"/>
    </x:xf>
    <x:xf numFmtId="206" fontId="5" fillId="6" borderId="0" xfId="0" applyNumberFormat="1" applyFont="1" applyFill="1" applyBorder="1" applyAlignment="1">
      <x:alignment horizontal="center" vertical="center"/>
    </x:xf>
    <x:xf numFmtId="206" fontId="5" fillId="6" borderId="5" xfId="0" applyNumberFormat="1" applyFont="1" applyFill="1" applyBorder="1" applyAlignment="1">
      <x:alignment horizontal="center" vertical="center"/>
    </x:xf>
    <x:xf numFmtId="206" fontId="5" fillId="6" borderId="6" xfId="0" applyNumberFormat="1" applyFont="1" applyFill="1" applyBorder="1" applyAlignment="1">
      <x:alignment horizontal="center" vertical="center"/>
    </x:xf>
    <x:xf numFmtId="206" fontId="5" fillId="6" borderId="2" xfId="0" applyNumberFormat="1" applyFont="1" applyFill="1" applyBorder="1" applyAlignment="1">
      <x:alignment horizontal="center" vertical="center"/>
    </x:xf>
    <x:xf numFmtId="206" fontId="5" fillId="6" borderId="7" xfId="0" applyNumberFormat="1" applyFont="1" applyFill="1" applyBorder="1" applyAlignment="1">
      <x:alignment horizontal="center" vertical="center"/>
    </x:xf>
    <x:xf numFmtId="206" fontId="5" fillId="6" borderId="8" xfId="0" applyNumberFormat="1" applyFont="1" applyFill="1" applyBorder="1" applyAlignment="1">
      <x:alignment horizontal="center" vertical="center"/>
    </x:xf>
    <x:xf numFmtId="206" fontId="5" fillId="6" borderId="1" xfId="0" applyNumberFormat="1" applyFont="1" applyFill="1" applyBorder="1" applyAlignment="1">
      <x:alignment horizontal="center" vertical="center"/>
    </x:xf>
    <x:xf numFmtId="206" fontId="5" fillId="6" borderId="9" xfId="0" applyNumberFormat="1" applyFont="1" applyFill="1" applyBorder="1" applyAlignment="1">
      <x:alignment horizontal="center" vertical="center"/>
    </x:xf>
    <x:xf numFmtId="206" fontId="5" fillId="6" borderId="10" xfId="0" applyNumberFormat="1" applyFont="1" applyFill="1" applyBorder="1" applyAlignment="1">
      <x:alignment horizontal="center" vertical="center"/>
    </x:xf>
    <x:xf numFmtId="206" fontId="5" fillId="6" borderId="3" xfId="0" applyNumberFormat="1" applyFont="1" applyFill="1" applyBorder="1" applyAlignment="1">
      <x:alignment horizontal="center" vertical="center"/>
    </x:xf>
    <x:xf numFmtId="206" fontId="5" fillId="6" borderId="11" xfId="0" applyNumberFormat="1" applyFont="1" applyFill="1" applyBorder="1" applyAlignment="1">
      <x:alignment horizontal="center" vertical="center"/>
    </x:xf>
    <x:xf numFmtId="207" fontId="5" fillId="6" borderId="4" xfId="0" applyNumberFormat="1" applyFont="1" applyFill="1" applyBorder="1" applyAlignment="1">
      <x:alignment horizontal="center" vertical="center"/>
    </x:xf>
    <x:xf numFmtId="207" fontId="5" fillId="6" borderId="0" xfId="0" applyNumberFormat="1" applyFont="1" applyFill="1" applyBorder="1" applyAlignment="1">
      <x:alignment horizontal="center" vertical="center"/>
    </x:xf>
    <x:xf numFmtId="207" fontId="5" fillId="6" borderId="5" xfId="0" applyNumberFormat="1" applyFont="1" applyFill="1" applyBorder="1" applyAlignment="1">
      <x:alignment horizontal="center" vertical="center"/>
    </x:xf>
    <x:xf numFmtId="207" fontId="5" fillId="6" borderId="6" xfId="0" applyNumberFormat="1" applyFont="1" applyFill="1" applyBorder="1" applyAlignment="1">
      <x:alignment horizontal="center" vertical="center"/>
    </x:xf>
    <x:xf numFmtId="207" fontId="5" fillId="6" borderId="2" xfId="0" applyNumberFormat="1" applyFont="1" applyFill="1" applyBorder="1" applyAlignment="1">
      <x:alignment horizontal="center" vertical="center"/>
    </x:xf>
    <x:xf numFmtId="207" fontId="5" fillId="6" borderId="7" xfId="0" applyNumberFormat="1" applyFont="1" applyFill="1" applyBorder="1" applyAlignment="1">
      <x:alignment horizontal="center" vertical="center"/>
    </x:xf>
    <x:xf numFmtId="207" fontId="5" fillId="6" borderId="8" xfId="0" applyNumberFormat="1" applyFont="1" applyFill="1" applyBorder="1" applyAlignment="1">
      <x:alignment horizontal="center" vertical="center"/>
    </x:xf>
    <x:xf numFmtId="207" fontId="5" fillId="6" borderId="1" xfId="0" applyNumberFormat="1" applyFont="1" applyFill="1" applyBorder="1" applyAlignment="1">
      <x:alignment horizontal="center" vertical="center"/>
    </x:xf>
    <x:xf numFmtId="207" fontId="5" fillId="6" borderId="9" xfId="0" applyNumberFormat="1" applyFont="1" applyFill="1" applyBorder="1" applyAlignment="1">
      <x:alignment horizontal="center" vertical="center"/>
    </x:xf>
    <x:xf numFmtId="207" fontId="5" fillId="6" borderId="10" xfId="0" applyNumberFormat="1" applyFont="1" applyFill="1" applyBorder="1" applyAlignment="1">
      <x:alignment horizontal="center" vertical="center"/>
    </x:xf>
    <x:xf numFmtId="207" fontId="5" fillId="6" borderId="3" xfId="0" applyNumberFormat="1" applyFont="1" applyFill="1" applyBorder="1" applyAlignment="1">
      <x:alignment horizontal="center" vertical="center"/>
    </x:xf>
    <x:xf numFmtId="207" fontId="5" fillId="6" borderId="11" xfId="0" applyNumberFormat="1" applyFont="1" applyFill="1" applyBorder="1" applyAlignment="1">
      <x:alignment horizontal="center" vertical="center"/>
    </x:xf>
    <x:xf numFmtId="205" fontId="5" fillId="6" borderId="4" xfId="0" applyNumberFormat="1" applyFont="1" applyFill="1" applyBorder="1" applyAlignment="1">
      <x:alignment horizontal="center" vertical="center"/>
    </x:xf>
    <x:xf numFmtId="205" fontId="5" fillId="6" borderId="0" xfId="0" applyNumberFormat="1" applyFont="1" applyFill="1" applyBorder="1" applyAlignment="1">
      <x:alignment horizontal="center" vertical="center"/>
    </x:xf>
    <x:xf numFmtId="205" fontId="5" fillId="6" borderId="5" xfId="0" applyNumberFormat="1" applyFont="1" applyFill="1" applyBorder="1" applyAlignment="1">
      <x:alignment horizontal="center" vertical="center"/>
    </x:xf>
    <x:xf numFmtId="205" fontId="5" fillId="6" borderId="6" xfId="0" applyNumberFormat="1" applyFont="1" applyFill="1" applyBorder="1" applyAlignment="1">
      <x:alignment horizontal="center" vertical="center"/>
    </x:xf>
    <x:xf numFmtId="205" fontId="5" fillId="6" borderId="2" xfId="0" applyNumberFormat="1" applyFont="1" applyFill="1" applyBorder="1" applyAlignment="1">
      <x:alignment horizontal="center" vertical="center"/>
    </x:xf>
    <x:xf numFmtId="205" fontId="5" fillId="6" borderId="7" xfId="0" applyNumberFormat="1" applyFont="1" applyFill="1" applyBorder="1" applyAlignment="1">
      <x:alignment horizontal="center" vertical="center"/>
    </x:xf>
    <x:xf numFmtId="205" fontId="5" fillId="6" borderId="8" xfId="0" applyNumberFormat="1" applyFont="1" applyFill="1" applyBorder="1" applyAlignment="1">
      <x:alignment horizontal="center" vertical="center"/>
    </x:xf>
    <x:xf numFmtId="205" fontId="5" fillId="6" borderId="1" xfId="0" applyNumberFormat="1" applyFont="1" applyFill="1" applyBorder="1" applyAlignment="1">
      <x:alignment horizontal="center" vertical="center"/>
    </x:xf>
    <x:xf numFmtId="205" fontId="5" fillId="6" borderId="9" xfId="0" applyNumberFormat="1" applyFont="1" applyFill="1" applyBorder="1" applyAlignment="1">
      <x:alignment horizontal="center" vertical="center"/>
    </x:xf>
    <x:xf numFmtId="205" fontId="5" fillId="6" borderId="10" xfId="0" applyNumberFormat="1" applyFont="1" applyFill="1" applyBorder="1" applyAlignment="1">
      <x:alignment horizontal="center" vertical="center"/>
    </x:xf>
    <x:xf numFmtId="205" fontId="5" fillId="6" borderId="3" xfId="0" applyNumberFormat="1" applyFont="1" applyFill="1" applyBorder="1" applyAlignment="1">
      <x:alignment horizontal="center" vertical="center"/>
    </x:xf>
    <x:xf numFmtId="205" fontId="5" fillId="6" borderId="11" xfId="0" applyNumberFormat="1" applyFont="1" applyFill="1" applyBorder="1" applyAlignment="1">
      <x:alignment horizontal="center" vertical="center"/>
    </x:xf>
    <x:xf numFmtId="202" fontId="5" fillId="6" borderId="4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5" xfId="0" applyNumberFormat="1" applyFont="1" applyFill="1" applyBorder="1" applyAlignment="1">
      <x:alignment horizontal="center" vertical="center"/>
    </x:xf>
    <x:xf numFmtId="202" fontId="5" fillId="6" borderId="6" xfId="0" applyNumberFormat="1" applyFont="1" applyFill="1" applyBorder="1" applyAlignment="1">
      <x:alignment horizontal="center" vertical="center"/>
    </x:xf>
    <x:xf numFmtId="202" fontId="5" fillId="6" borderId="2" xfId="0" applyNumberFormat="1" applyFont="1" applyFill="1" applyBorder="1" applyAlignment="1">
      <x:alignment horizontal="center" vertical="center"/>
    </x:xf>
    <x:xf numFmtId="202" fontId="5" fillId="6" borderId="7" xfId="0" applyNumberFormat="1" applyFont="1" applyFill="1" applyBorder="1" applyAlignment="1">
      <x:alignment horizontal="center" vertical="center"/>
    </x:xf>
    <x:xf numFmtId="202" fontId="5" fillId="6" borderId="8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202" fontId="5" fillId="6" borderId="9" xfId="0" applyNumberFormat="1" applyFont="1" applyFill="1" applyBorder="1" applyAlignment="1">
      <x:alignment horizontal="center" vertical="center"/>
    </x:xf>
    <x:xf numFmtId="202" fontId="5" fillId="6" borderId="10" xfId="0" applyNumberFormat="1" applyFont="1" applyFill="1" applyBorder="1" applyAlignment="1">
      <x:alignment horizontal="center" vertical="center"/>
    </x:xf>
    <x:xf numFmtId="202" fontId="5" fillId="6" borderId="3" xfId="0" applyNumberFormat="1" applyFont="1" applyFill="1" applyBorder="1" applyAlignment="1">
      <x:alignment horizontal="center" vertical="center"/>
    </x:xf>
    <x:xf numFmtId="202" fontId="5" fillId="6" borderId="11" xfId="0" applyNumberFormat="1" applyFont="1" applyFill="1" applyBorder="1" applyAlignment="1">
      <x:alignment horizontal="center" vertical="center"/>
    </x:xf>
    <x:xf numFmtId="203" fontId="5" fillId="6" borderId="4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5" xfId="0" applyNumberFormat="1" applyFont="1" applyFill="1" applyBorder="1" applyAlignment="1">
      <x:alignment horizontal="center" vertical="center"/>
    </x:xf>
    <x:xf numFmtId="203" fontId="5" fillId="6" borderId="6" xfId="0" applyNumberFormat="1" applyFont="1" applyFill="1" applyBorder="1" applyAlignment="1">
      <x:alignment horizontal="center" vertical="center"/>
    </x:xf>
    <x:xf numFmtId="203" fontId="5" fillId="6" borderId="2" xfId="0" applyNumberFormat="1" applyFont="1" applyFill="1" applyBorder="1" applyAlignment="1">
      <x:alignment horizontal="center" vertical="center"/>
    </x:xf>
    <x:xf numFmtId="203" fontId="5" fillId="6" borderId="7" xfId="0" applyNumberFormat="1" applyFont="1" applyFill="1" applyBorder="1" applyAlignment="1">
      <x:alignment horizontal="center" vertical="center"/>
    </x:xf>
    <x:xf numFmtId="203" fontId="5" fillId="6" borderId="8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203" fontId="5" fillId="6" borderId="9" xfId="0" applyNumberFormat="1" applyFont="1" applyFill="1" applyBorder="1" applyAlignment="1">
      <x:alignment horizontal="center" vertical="center"/>
    </x:xf>
    <x:xf numFmtId="203" fontId="5" fillId="6" borderId="10" xfId="0" applyNumberFormat="1" applyFont="1" applyFill="1" applyBorder="1" applyAlignment="1">
      <x:alignment horizontal="center" vertical="center"/>
    </x:xf>
    <x:xf numFmtId="203" fontId="5" fillId="6" borderId="3" xfId="0" applyNumberFormat="1" applyFont="1" applyFill="1" applyBorder="1" applyAlignment="1">
      <x:alignment horizontal="center" vertical="center"/>
    </x:xf>
    <x:xf numFmtId="203" fontId="5" fillId="6" borderId="1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/>
    <x:xf numFmtId="0" fontId="6" fillId="6" borderId="13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f277ce8244e2a" /><Relationship Type="http://schemas.openxmlformats.org/officeDocument/2006/relationships/theme" Target="/xl/theme/theme1.xml" Id="Rf0dd35a7e33d48f0" /><Relationship Type="http://schemas.openxmlformats.org/officeDocument/2006/relationships/sharedStrings" Target="/xl/sharedStrings.xml" Id="Rfd0fb90cc8c943e8" /><Relationship Type="http://schemas.openxmlformats.org/officeDocument/2006/relationships/worksheet" Target="/xl/worksheets/sheet1.xml" Id="R3c08404fd9924cb7" /><Relationship Type="http://schemas.openxmlformats.org/officeDocument/2006/relationships/worksheet" Target="/xl/worksheets/sheet2.xml" Id="R8a4a57403b1c41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2335b5d4a04f2e" /><Relationship Type="http://schemas.openxmlformats.org/officeDocument/2006/relationships/chart" Target="/xl/drawings/charts/chart2.xml" Id="R061ffc7307484e21" /><Relationship Type="http://schemas.openxmlformats.org/officeDocument/2006/relationships/chart" Target="/xl/drawings/charts/chart3.xml" Id="Rcc4cba618e184cfd" /><Relationship Type="http://schemas.openxmlformats.org/officeDocument/2006/relationships/chart" Target="/xl/drawings/charts/chart4.xml" Id="R419a02f4d25946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Visit Volume vs Budget</a:t>
            </a:r>
          </a:p>
        </c:rich>
      </c:tx>
    </c:title>
    <c:plotArea>
      <c:lineChart>
        <c:grouping val="standard"/>
        <c:ser>
          <c:idx val="0"/>
          <c:order val="0"/>
          <c:tx>
            <c:v>Visits</c:v>
          </c:tx>
          <c:marker>
            <c:symbol val="none"/>
          </c:marker>
          <c:cat>
            <c:strRef>
              <c:f>'Dashboard'!$N$2:$N$13</c:f>
              <c:strCache>
                <c:ptCount val="0"/>
              </c:strCache>
            </c:strRef>
          </c:cat>
          <c:val>
            <c:numRef>
              <c:f>'Dashboard'!$O$2:$O$13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Visit Budget</c:v>
          </c:tx>
          <c:marker>
            <c:symbol val="none"/>
          </c:marker>
          <c:cat>
            <c:strRef>
              <c:f>'Dashboard'!$N$2:$N$13</c:f>
              <c:strCache>
                <c:ptCount val="0"/>
              </c:strCache>
            </c:strRef>
          </c:cat>
          <c:val>
            <c:numRef>
              <c:f>'Dashboard'!$P$2:$P$13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Capacity Utilization</a:t>
            </a:r>
          </a:p>
        </c:rich>
      </c:tx>
    </c:title>
    <c:plotArea>
      <c:lineChart>
        <c:grouping val="standard"/>
        <c:ser>
          <c:idx val="0"/>
          <c:order val="0"/>
          <c:tx>
            <c:v>Provider Utilization</c:v>
          </c:tx>
          <c:marker>
            <c:symbol val="none"/>
          </c:marker>
          <c:cat>
            <c:strRef>
              <c:f>'Dashboard'!$R$2:$R$13</c:f>
              <c:strCache>
                <c:ptCount val="0"/>
              </c:strCache>
            </c:strRef>
          </c:cat>
          <c:val>
            <c:numRef>
              <c:f>'Dashboard'!$S$2:$S$13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Template Utilization</c:v>
          </c:tx>
          <c:marker>
            <c:symbol val="none"/>
          </c:marker>
          <c:cat>
            <c:strRef>
              <c:f>'Dashboard'!$R$2:$R$13</c:f>
              <c:strCache>
                <c:ptCount val="0"/>
              </c:strCache>
            </c:strRef>
          </c:cat>
          <c:val>
            <c:numRef>
              <c:f>'Dashboard'!$T$2:$T$13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New Patient Access</a:t>
            </a:r>
          </a:p>
        </c:rich>
      </c:tx>
    </c:title>
    <c:plotArea>
      <c:lineChart>
        <c:grouping val="standard"/>
        <c:ser>
          <c:idx val="0"/>
          <c:order val="0"/>
          <c:tx>
            <c:v>Access Days</c:v>
          </c:tx>
          <c:marker>
            <c:symbol val="none"/>
          </c:marke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'Dashboard'!$W$2:$W$13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Call Answer Rate</a:t>
            </a:r>
          </a:p>
        </c:rich>
      </c:tx>
    </c:title>
    <c:plotArea>
      <c:lineChart>
        <c:grouping val="standard"/>
        <c:ser>
          <c:idx val="0"/>
          <c:order val="0"/>
          <c:tx>
            <c:v>Call Answer Rate</c:v>
          </c:tx>
          <c:marker>
            <c:symbol val="none"/>
          </c:marker>
          <c:cat>
            <c:strRef>
              <c:f>'Dashboard'!$Y$2:$Y$13</c:f>
              <c:strCache>
                <c:ptCount val="0"/>
              </c:strCache>
            </c:strRef>
          </c:cat>
          <c:val>
            <c:numRef>
              <c:f>'Dashboard'!$Z$2:$Z$13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335b5d4a04f2e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1ffc7307484e2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cba618e184cfd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a02f4d25946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3d517092f4b01" /></Relationships>
</file>

<file path=xl/worksheets/sheet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4.75" hidden="0" customWidth="1"/>
    <x:col min="3" max="3" width="9.7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7.5" hidden="0" customWidth="1"/>
    <x:col min="12" max="12" width="13" hidden="0" customWidth="1"/>
  </x:cols>
  <x:sheetData>
    <x:row r="1">
      <x:c r="A1" s="22" t="str">
        <x:v>Month</x:v>
      </x:c>
      <x:c r="B1" s="22" t="str">
        <x:v>Visits</x:v>
      </x:c>
      <x:c r="C1" s="22" t="str">
        <x:v>Visit Budget</x:v>
      </x:c>
      <x:c r="D1" s="22" t="str">
        <x:v>New Patient Access Days</x:v>
      </x:c>
      <x:c r="E1" s="22" t="str">
        <x:v>Provider Utilization %</x:v>
      </x:c>
      <x:c r="F1" s="22" t="str">
        <x:v>Template Utilization %</x:v>
      </x:c>
      <x:c r="G1" s="22" t="str">
        <x:v>Call Answer Rate %</x:v>
      </x:c>
      <x:c r="H1" s="22" t="str">
        <x:v>Patient Experience %</x:v>
      </x:c>
      <x:c r="I1" s="22" t="str">
        <x:v>Ease of Scheduling %</x:v>
      </x:c>
      <x:c r="J1" s="22" t="str">
        <x:v>Staff Worked Together %</x:v>
      </x:c>
      <x:c r="K1" s="22" t="str">
        <x:v>Revenue</x:v>
      </x:c>
      <x:c r="L1" s="22" t="str">
        <x:v>Revenue Budget</x:v>
      </x:c>
    </x:row>
    <x:row r="2">
      <x:c r="A2" s="23" t="n">
        <x:v>45658</x:v>
      </x:c>
      <x:c r="B2" s="24" t="n">
        <x:v>3985</x:v>
      </x:c>
      <x:c r="C2" s="24" t="n">
        <x:v>4100</x:v>
      </x:c>
      <x:c r="D2" s="25" t="n">
        <x:v>5</x:v>
      </x:c>
      <x:c r="E2" s="26" t="n">
        <x:v>84</x:v>
      </x:c>
      <x:c r="F2" s="26" t="n">
        <x:v>88</x:v>
      </x:c>
      <x:c r="G2" s="26" t="n">
        <x:v>84</x:v>
      </x:c>
      <x:c r="H2" s="26" t="n">
        <x:v>95</x:v>
      </x:c>
      <x:c r="I2" s="26" t="n">
        <x:v>89</x:v>
      </x:c>
      <x:c r="J2" s="26" t="n">
        <x:v>96</x:v>
      </x:c>
      <x:c r="K2" s="27" t="n">
        <x:v>690000</x:v>
      </x:c>
      <x:c r="L2" s="27" t="n">
        <x:v>700000</x:v>
      </x:c>
    </x:row>
    <x:row r="3">
      <x:c r="A3" s="23" t="n">
        <x:v>45689</x:v>
      </x:c>
      <x:c r="B3" s="24" t="n">
        <x:v>4050</x:v>
      </x:c>
      <x:c r="C3" s="24" t="n">
        <x:v>4150</x:v>
      </x:c>
      <x:c r="D3" s="25" t="n">
        <x:v>5</x:v>
      </x:c>
      <x:c r="E3" s="26" t="n">
        <x:v>85</x:v>
      </x:c>
      <x:c r="F3" s="26" t="n">
        <x:v>89</x:v>
      </x:c>
      <x:c r="G3" s="26" t="n">
        <x:v>82</x:v>
      </x:c>
      <x:c r="H3" s="26" t="n">
        <x:v>95</x:v>
      </x:c>
      <x:c r="I3" s="26" t="n">
        <x:v>88</x:v>
      </x:c>
      <x:c r="J3" s="26" t="n">
        <x:v>96</x:v>
      </x:c>
      <x:c r="K3" s="27" t="n">
        <x:v>705000</x:v>
      </x:c>
      <x:c r="L3" s="27" t="n">
        <x:v>710000</x:v>
      </x:c>
    </x:row>
    <x:row r="4">
      <x:c r="A4" s="23" t="n">
        <x:v>45717</x:v>
      </x:c>
      <x:c r="B4" s="24" t="n">
        <x:v>4210</x:v>
      </x:c>
      <x:c r="C4" s="24" t="n">
        <x:v>4200</x:v>
      </x:c>
      <x:c r="D4" s="25" t="n">
        <x:v>6</x:v>
      </x:c>
      <x:c r="E4" s="26" t="n">
        <x:v>87</x:v>
      </x:c>
      <x:c r="F4" s="26" t="n">
        <x:v>90</x:v>
      </x:c>
      <x:c r="G4" s="26" t="n">
        <x:v>80</x:v>
      </x:c>
      <x:c r="H4" s="26" t="n">
        <x:v>95</x:v>
      </x:c>
      <x:c r="I4" s="26" t="n">
        <x:v>87</x:v>
      </x:c>
      <x:c r="J4" s="26" t="n">
        <x:v>96</x:v>
      </x:c>
      <x:c r="K4" s="27" t="n">
        <x:v>725000</x:v>
      </x:c>
      <x:c r="L4" s="27" t="n">
        <x:v>720000</x:v>
      </x:c>
    </x:row>
    <x:row r="5">
      <x:c r="A5" s="23" t="n">
        <x:v>45748</x:v>
      </x:c>
      <x:c r="B5" s="24" t="n">
        <x:v>4295</x:v>
      </x:c>
      <x:c r="C5" s="24" t="n">
        <x:v>4250</x:v>
      </x:c>
      <x:c r="D5" s="25" t="n">
        <x:v>7</x:v>
      </x:c>
      <x:c r="E5" s="26" t="n">
        <x:v>89</x:v>
      </x:c>
      <x:c r="F5" s="26" t="n">
        <x:v>91</x:v>
      </x:c>
      <x:c r="G5" s="26" t="n">
        <x:v>78</x:v>
      </x:c>
      <x:c r="H5" s="26" t="n">
        <x:v>94</x:v>
      </x:c>
      <x:c r="I5" s="26" t="n">
        <x:v>85</x:v>
      </x:c>
      <x:c r="J5" s="26" t="n">
        <x:v>96</x:v>
      </x:c>
      <x:c r="K5" s="27" t="n">
        <x:v>742000</x:v>
      </x:c>
      <x:c r="L5" s="27" t="n">
        <x:v>730000</x:v>
      </x:c>
    </x:row>
    <x:row r="6">
      <x:c r="A6" s="23" t="n">
        <x:v>45778</x:v>
      </x:c>
      <x:c r="B6" s="24" t="n">
        <x:v>4380</x:v>
      </x:c>
      <x:c r="C6" s="24" t="n">
        <x:v>4300</x:v>
      </x:c>
      <x:c r="D6" s="25" t="n">
        <x:v>8</x:v>
      </x:c>
      <x:c r="E6" s="26" t="n">
        <x:v>91</x:v>
      </x:c>
      <x:c r="F6" s="26" t="n">
        <x:v>92</x:v>
      </x:c>
      <x:c r="G6" s="26" t="n">
        <x:v>76</x:v>
      </x:c>
      <x:c r="H6" s="26" t="n">
        <x:v>94</x:v>
      </x:c>
      <x:c r="I6" s="26" t="n">
        <x:v>84</x:v>
      </x:c>
      <x:c r="J6" s="26" t="n">
        <x:v>96</x:v>
      </x:c>
      <x:c r="K6" s="27" t="n">
        <x:v>755000</x:v>
      </x:c>
      <x:c r="L6" s="27" t="n">
        <x:v>740000</x:v>
      </x:c>
    </x:row>
    <x:row r="7">
      <x:c r="A7" s="23" t="n">
        <x:v>45809</x:v>
      </x:c>
      <x:c r="B7" s="24" t="n">
        <x:v>4460</x:v>
      </x:c>
      <x:c r="C7" s="24" t="n">
        <x:v>4350</x:v>
      </x:c>
      <x:c r="D7" s="25" t="n">
        <x:v>10</x:v>
      </x:c>
      <x:c r="E7" s="26" t="n">
        <x:v>93</x:v>
      </x:c>
      <x:c r="F7" s="26" t="n">
        <x:v>94</x:v>
      </x:c>
      <x:c r="G7" s="26" t="n">
        <x:v>73</x:v>
      </x:c>
      <x:c r="H7" s="26" t="n">
        <x:v>94</x:v>
      </x:c>
      <x:c r="I7" s="26" t="n">
        <x:v>82</x:v>
      </x:c>
      <x:c r="J7" s="26" t="n">
        <x:v>95</x:v>
      </x:c>
      <x:c r="K7" s="27" t="n">
        <x:v>768000</x:v>
      </x:c>
      <x:c r="L7" s="27" t="n">
        <x:v>750000</x:v>
      </x:c>
    </x:row>
    <x:row r="8">
      <x:c r="A8" s="23" t="n">
        <x:v>45839</x:v>
      </x:c>
      <x:c r="B8" s="24" t="n">
        <x:v>4515</x:v>
      </x:c>
      <x:c r="C8" s="24" t="n">
        <x:v>4400</x:v>
      </x:c>
      <x:c r="D8" s="25" t="n">
        <x:v>12</x:v>
      </x:c>
      <x:c r="E8" s="26" t="n">
        <x:v>95</x:v>
      </x:c>
      <x:c r="F8" s="26" t="n">
        <x:v>95</x:v>
      </x:c>
      <x:c r="G8" s="26" t="n">
        <x:v>72</x:v>
      </x:c>
      <x:c r="H8" s="26" t="n">
        <x:v>94</x:v>
      </x:c>
      <x:c r="I8" s="26" t="n">
        <x:v>80</x:v>
      </x:c>
      <x:c r="J8" s="26" t="n">
        <x:v>95</x:v>
      </x:c>
      <x:c r="K8" s="27" t="n">
        <x:v>775000</x:v>
      </x:c>
      <x:c r="L8" s="27" t="n">
        <x:v>760000</x:v>
      </x:c>
    </x:row>
    <x:row r="9">
      <x:c r="A9" s="23" t="n">
        <x:v>45870</x:v>
      </x:c>
      <x:c r="B9" s="24" t="n">
        <x:v>4470</x:v>
      </x:c>
      <x:c r="C9" s="24" t="n">
        <x:v>4400</x:v>
      </x:c>
      <x:c r="D9" s="25" t="n">
        <x:v>11</x:v>
      </x:c>
      <x:c r="E9" s="26" t="n">
        <x:v>96</x:v>
      </x:c>
      <x:c r="F9" s="26" t="n">
        <x:v>95</x:v>
      </x:c>
      <x:c r="G9" s="26" t="n">
        <x:v>74</x:v>
      </x:c>
      <x:c r="H9" s="26" t="n">
        <x:v>94</x:v>
      </x:c>
      <x:c r="I9" s="26" t="n">
        <x:v>81</x:v>
      </x:c>
      <x:c r="J9" s="26" t="n">
        <x:v>95</x:v>
      </x:c>
      <x:c r="K9" s="27" t="n">
        <x:v>782000</x:v>
      </x:c>
      <x:c r="L9" s="27" t="n">
        <x:v>760000</x:v>
      </x:c>
    </x:row>
    <x:row r="10">
      <x:c r="A10" s="23" t="n">
        <x:v>45901</x:v>
      </x:c>
      <x:c r="B10" s="24" t="n">
        <x:v>4390</x:v>
      </x:c>
      <x:c r="C10" s="24" t="n">
        <x:v>4350</x:v>
      </x:c>
      <x:c r="D10" s="25" t="n">
        <x:v>9</x:v>
      </x:c>
      <x:c r="E10" s="26" t="n">
        <x:v>94</x:v>
      </x:c>
      <x:c r="F10" s="26" t="n">
        <x:v>94</x:v>
      </x:c>
      <x:c r="G10" s="26" t="n">
        <x:v>77</x:v>
      </x:c>
      <x:c r="H10" s="26" t="n">
        <x:v>95</x:v>
      </x:c>
      <x:c r="I10" s="26" t="n">
        <x:v>83</x:v>
      </x:c>
      <x:c r="J10" s="26" t="n">
        <x:v>96</x:v>
      </x:c>
      <x:c r="K10" s="27" t="n">
        <x:v>770000</x:v>
      </x:c>
      <x:c r="L10" s="27" t="n">
        <x:v>755000</x:v>
      </x:c>
    </x:row>
    <x:row r="11">
      <x:c r="A11" s="23" t="n">
        <x:v>45931</x:v>
      </x:c>
      <x:c r="B11" s="24" t="n">
        <x:v>4310</x:v>
      </x:c>
      <x:c r="C11" s="24" t="n">
        <x:v>4300</x:v>
      </x:c>
      <x:c r="D11" s="25" t="n">
        <x:v>7</x:v>
      </x:c>
      <x:c r="E11" s="26" t="n">
        <x:v>91</x:v>
      </x:c>
      <x:c r="F11" s="26" t="n">
        <x:v>92</x:v>
      </x:c>
      <x:c r="G11" s="26" t="n">
        <x:v>80</x:v>
      </x:c>
      <x:c r="H11" s="26" t="n">
        <x:v>95</x:v>
      </x:c>
      <x:c r="I11" s="26" t="n">
        <x:v>85</x:v>
      </x:c>
      <x:c r="J11" s="26" t="n">
        <x:v>96</x:v>
      </x:c>
      <x:c r="K11" s="27" t="n">
        <x:v>758000</x:v>
      </x:c>
      <x:c r="L11" s="27" t="n">
        <x:v>750000</x:v>
      </x:c>
    </x:row>
    <x:row r="12">
      <x:c r="A12" s="23" t="n">
        <x:v>45962</x:v>
      </x:c>
      <x:c r="B12" s="24" t="n">
        <x:v>4180</x:v>
      </x:c>
      <x:c r="C12" s="24" t="n">
        <x:v>4200</x:v>
      </x:c>
      <x:c r="D12" s="25" t="n">
        <x:v>6</x:v>
      </x:c>
      <x:c r="E12" s="26" t="n">
        <x:v>88</x:v>
      </x:c>
      <x:c r="F12" s="26" t="n">
        <x:v>90</x:v>
      </x:c>
      <x:c r="G12" s="26" t="n">
        <x:v>83</x:v>
      </x:c>
      <x:c r="H12" s="26" t="n">
        <x:v>96</x:v>
      </x:c>
      <x:c r="I12" s="26" t="n">
        <x:v>87</x:v>
      </x:c>
      <x:c r="J12" s="26" t="n">
        <x:v>97</x:v>
      </x:c>
      <x:c r="K12" s="27" t="n">
        <x:v>735000</x:v>
      </x:c>
      <x:c r="L12" s="27" t="n">
        <x:v>730000</x:v>
      </x:c>
    </x:row>
    <x:row r="13">
      <x:c r="A13" s="23" t="n">
        <x:v>45992</x:v>
      </x:c>
      <x:c r="B13" s="24" t="n">
        <x:v>4125</x:v>
      </x:c>
      <x:c r="C13" s="24" t="n">
        <x:v>4100</x:v>
      </x:c>
      <x:c r="D13" s="25" t="n">
        <x:v>5</x:v>
      </x:c>
      <x:c r="E13" s="26" t="n">
        <x:v>86</x:v>
      </x:c>
      <x:c r="F13" s="26" t="n">
        <x:v>89</x:v>
      </x:c>
      <x:c r="G13" s="26" t="n">
        <x:v>86</x:v>
      </x:c>
      <x:c r="H13" s="26" t="n">
        <x:v>96</x:v>
      </x:c>
      <x:c r="I13" s="26" t="n">
        <x:v>89</x:v>
      </x:c>
      <x:c r="J13" s="26" t="n">
        <x:v>97</x:v>
      </x:c>
      <x:c r="K13" s="27" t="n">
        <x:v>720000</x:v>
      </x:c>
      <x:c r="L13" s="27" t="n">
        <x:v>715000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2" max="22" width="2" hidden="0" customWidth="1"/>
    <x:col min="23" max="23" width="2" hidden="0" customWidth="1"/>
    <x:col min="25" max="25" width="2" hidden="0" customWidth="1"/>
    <x:col min="26" max="26" width="2" hidden="0" customWidth="1"/>
  </x:cols>
  <x:sheetData>
    <x:row r="1" ht="28" customHeight="1">
      <x:c r="A1" s="37" t="str">
        <x:v>Healthcare Operations Executive Dashboard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N1" t="str">
        <x:v>Month</x:v>
      </x:c>
      <x:c r="O1" t="str">
        <x:v>Visits</x:v>
      </x:c>
      <x:c r="P1" t="str">
        <x:v>Visit Budget</x:v>
      </x:c>
      <x:c r="Q1"/>
      <x:c r="R1" t="str">
        <x:v>Month</x:v>
      </x:c>
      <x:c r="S1" t="str">
        <x:v>Provider Utilization</x:v>
      </x:c>
      <x:c r="T1" t="str">
        <x:v>Template Utilization</x:v>
      </x:c>
      <x:c r="V1" t="str">
        <x:v>Month</x:v>
      </x:c>
      <x:c r="W1" t="str">
        <x:v>Access Days</x:v>
      </x:c>
      <x:c r="Y1" t="str">
        <x:v>Month</x:v>
      </x:c>
      <x:c r="Z1" t="str">
        <x:v>Call Answer Rate</x:v>
      </x:c>
    </x:row>
    <x:row r="2" ht="28" customHeight="1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N2" s="10" t="str">
        <x:v>Jan</x:v>
      </x:c>
      <x:c r="O2" t="n">
        <x:v>3985</x:v>
      </x:c>
      <x:c r="P2" t="n">
        <x:v>4100</x:v>
      </x:c>
      <x:c r="Q2"/>
      <x:c r="R2" t="str">
        <x:v>Jan</x:v>
      </x:c>
      <x:c r="S2" t="n">
        <x:v>84</x:v>
      </x:c>
      <x:c r="T2" t="n">
        <x:v>88</x:v>
      </x:c>
      <x:c r="V2" t="str">
        <x:v>Jan</x:v>
      </x:c>
      <x:c r="W2" t="n">
        <x:v>5</x:v>
      </x:c>
      <x:c r="Y2" t="str">
        <x:v>Jan</x:v>
      </x:c>
      <x:c r="Z2" t="n">
        <x:v>84</x:v>
      </x:c>
    </x:row>
    <x:row r="3" ht="20" customHeight="1">
      <x:c r="A3" s="44" t="str">
        <x:v>Synthetic ambulatory practice data | Portfolio demonstration | 2025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N3" s="10" t="str">
        <x:v>Feb</x:v>
      </x:c>
      <x:c r="O3" t="n">
        <x:v>4050</x:v>
      </x:c>
      <x:c r="P3" t="n">
        <x:v>4150</x:v>
      </x:c>
      <x:c r="Q3"/>
      <x:c r="R3" t="str">
        <x:v>Feb</x:v>
      </x:c>
      <x:c r="S3" t="n">
        <x:v>85</x:v>
      </x:c>
      <x:c r="T3" t="n">
        <x:v>89</x:v>
      </x:c>
      <x:c r="V3" t="str">
        <x:v>Feb</x:v>
      </x:c>
      <x:c r="W3" t="n">
        <x:v>5</x:v>
      </x:c>
      <x:c r="Y3" t="str">
        <x:v>Feb</x:v>
      </x:c>
      <x:c r="Z3" t="n">
        <x:v>82</x:v>
      </x:c>
    </x:row>
    <x:row r="4" ht="20" customHeight="1">
      <x:c r="N4" s="10" t="str">
        <x:v>Mar</x:v>
      </x:c>
      <x:c r="O4" t="n">
        <x:v>4210</x:v>
      </x:c>
      <x:c r="P4" t="n">
        <x:v>4200</x:v>
      </x:c>
      <x:c r="Q4"/>
      <x:c r="R4" t="str">
        <x:v>Mar</x:v>
      </x:c>
      <x:c r="S4" t="n">
        <x:v>87</x:v>
      </x:c>
      <x:c r="T4" t="n">
        <x:v>90</x:v>
      </x:c>
      <x:c r="V4" t="str">
        <x:v>Mar</x:v>
      </x:c>
      <x:c r="W4" t="n">
        <x:v>6</x:v>
      </x:c>
      <x:c r="Y4" t="str">
        <x:v>Mar</x:v>
      </x:c>
      <x:c r="Z4" t="n">
        <x:v>80</x:v>
      </x:c>
    </x:row>
    <x:row r="5" ht="20" customHeight="1">
      <x:c r="A5" s="52" t="str">
        <x:v>Annual Visits</x:v>
      </x:c>
      <x:c r="B5" s="52"/>
      <x:c r="C5" s="52"/>
      <x:c r="D5" s="52" t="str">
        <x:v>Visits vs Budget</x:v>
      </x:c>
      <x:c r="E5" s="52"/>
      <x:c r="F5" s="52"/>
      <x:c r="G5" s="52" t="str">
        <x:v>Annual Revenue</x:v>
      </x:c>
      <x:c r="H5" s="52"/>
      <x:c r="I5" s="52"/>
      <x:c r="J5" s="52" t="str">
        <x:v>Revenue Variance</x:v>
      </x:c>
      <x:c r="K5" s="52"/>
      <x:c r="L5" s="52"/>
      <x:c r="N5" s="10" t="str">
        <x:v>Apr</x:v>
      </x:c>
      <x:c r="O5" t="n">
        <x:v>4295</x:v>
      </x:c>
      <x:c r="P5" t="n">
        <x:v>4250</x:v>
      </x:c>
      <x:c r="Q5"/>
      <x:c r="R5" t="str">
        <x:v>Apr</x:v>
      </x:c>
      <x:c r="S5" t="n">
        <x:v>89</x:v>
      </x:c>
      <x:c r="T5" t="n">
        <x:v>91</x:v>
      </x:c>
      <x:c r="V5" t="str">
        <x:v>Apr</x:v>
      </x:c>
      <x:c r="W5" t="n">
        <x:v>7</x:v>
      </x:c>
      <x:c r="Y5" t="str">
        <x:v>Apr</x:v>
      </x:c>
      <x:c r="Z5" t="n">
        <x:v>78</x:v>
      </x:c>
    </x:row>
    <x:row r="6" ht="28" customHeight="1">
      <x:c r="A6" s="96" t="n">
        <x:f>SUM(Data!B2:B13)</x:f>
        <x:v>51370</x:v>
      </x:c>
      <x:c r="B6" s="97"/>
      <x:c r="C6" s="98"/>
      <x:c r="D6" s="108" t="n">
        <x:f>(SUM(Data!B2:B13)-SUM(Data!C2:C13))/SUM(Data!C2:C13)</x:f>
        <x:v>0.005283757338551859</x:v>
      </x:c>
      <x:c r="E6" s="109"/>
      <x:c r="F6" s="110"/>
      <x:c r="G6" s="120" t="n">
        <x:f>SUM(Data!K2:K13)</x:f>
        <x:v>8925000</x:v>
      </x:c>
      <x:c r="H6" s="121"/>
      <x:c r="I6" s="122"/>
      <x:c r="J6" s="132" t="n">
        <x:f>SUM(Data!K2:K13)-SUM(Data!L2:L13)</x:f>
        <x:v>105000</x:v>
      </x:c>
      <x:c r="K6" s="133"/>
      <x:c r="L6" s="134"/>
      <x:c r="N6" s="10" t="str">
        <x:v>May</x:v>
      </x:c>
      <x:c r="O6" t="n">
        <x:v>4380</x:v>
      </x:c>
      <x:c r="P6" t="n">
        <x:v>4300</x:v>
      </x:c>
      <x:c r="Q6"/>
      <x:c r="R6" t="str">
        <x:v>May</x:v>
      </x:c>
      <x:c r="S6" t="n">
        <x:v>91</x:v>
      </x:c>
      <x:c r="T6" t="n">
        <x:v>92</x:v>
      </x:c>
      <x:c r="V6" t="str">
        <x:v>May</x:v>
      </x:c>
      <x:c r="W6" t="n">
        <x:v>8</x:v>
      </x:c>
      <x:c r="Y6" t="str">
        <x:v>May</x:v>
      </x:c>
      <x:c r="Z6" t="n">
        <x:v>76</x:v>
      </x:c>
    </x:row>
    <x:row r="7" ht="28" customHeight="1">
      <x:c r="A7" s="96"/>
      <x:c r="B7" s="97"/>
      <x:c r="C7" s="98"/>
      <x:c r="D7" s="108"/>
      <x:c r="E7" s="109"/>
      <x:c r="F7" s="110"/>
      <x:c r="G7" s="120"/>
      <x:c r="H7" s="121"/>
      <x:c r="I7" s="122"/>
      <x:c r="J7" s="132"/>
      <x:c r="K7" s="133"/>
      <x:c r="L7" s="134"/>
      <x:c r="N7" s="10" t="str">
        <x:v>Jun</x:v>
      </x:c>
      <x:c r="O7" t="n">
        <x:v>4460</x:v>
      </x:c>
      <x:c r="P7" t="n">
        <x:v>4350</x:v>
      </x:c>
      <x:c r="Q7"/>
      <x:c r="R7" t="str">
        <x:v>Jun</x:v>
      </x:c>
      <x:c r="S7" t="n">
        <x:v>93</x:v>
      </x:c>
      <x:c r="T7" t="n">
        <x:v>94</x:v>
      </x:c>
      <x:c r="V7" t="str">
        <x:v>Jun</x:v>
      </x:c>
      <x:c r="W7" t="n">
        <x:v>10</x:v>
      </x:c>
      <x:c r="Y7" t="str">
        <x:v>Jun</x:v>
      </x:c>
      <x:c r="Z7" t="n">
        <x:v>73</x:v>
      </x:c>
    </x:row>
    <x:row r="8" ht="28" customHeight="1">
      <x:c r="A8" s="99"/>
      <x:c r="B8" s="100"/>
      <x:c r="C8" s="101"/>
      <x:c r="D8" s="111"/>
      <x:c r="E8" s="112"/>
      <x:c r="F8" s="113"/>
      <x:c r="G8" s="123"/>
      <x:c r="H8" s="124"/>
      <x:c r="I8" s="125"/>
      <x:c r="J8" s="135"/>
      <x:c r="K8" s="136"/>
      <x:c r="L8" s="137"/>
      <x:c r="N8" s="10" t="str">
        <x:v>Jul</x:v>
      </x:c>
      <x:c r="O8" t="n">
        <x:v>4515</x:v>
      </x:c>
      <x:c r="P8" t="n">
        <x:v>4400</x:v>
      </x:c>
      <x:c r="Q8"/>
      <x:c r="R8" t="str">
        <x:v>Jul</x:v>
      </x:c>
      <x:c r="S8" t="n">
        <x:v>95</x:v>
      </x:c>
      <x:c r="T8" t="n">
        <x:v>95</x:v>
      </x:c>
      <x:c r="V8" t="str">
        <x:v>Jul</x:v>
      </x:c>
      <x:c r="W8" t="n">
        <x:v>12</x:v>
      </x:c>
      <x:c r="Y8" t="str">
        <x:v>Jul</x:v>
      </x:c>
      <x:c r="Z8" t="n">
        <x:v>72</x:v>
      </x:c>
    </x:row>
    <x:row r="9" ht="20" customHeight="1">
      <x:c r="N9" s="10" t="str">
        <x:v>Aug</x:v>
      </x:c>
      <x:c r="O9" t="n">
        <x:v>4470</x:v>
      </x:c>
      <x:c r="P9" t="n">
        <x:v>4400</x:v>
      </x:c>
      <x:c r="Q9"/>
      <x:c r="R9" t="str">
        <x:v>Aug</x:v>
      </x:c>
      <x:c r="S9" t="n">
        <x:v>96</x:v>
      </x:c>
      <x:c r="T9" t="n">
        <x:v>95</x:v>
      </x:c>
      <x:c r="V9" t="str">
        <x:v>Aug</x:v>
      </x:c>
      <x:c r="W9" t="n">
        <x:v>11</x:v>
      </x:c>
      <x:c r="Y9" t="str">
        <x:v>Aug</x:v>
      </x:c>
      <x:c r="Z9" t="n">
        <x:v>74</x:v>
      </x:c>
    </x:row>
    <x:row r="10" ht="20" customHeight="1">
      <x:c r="A10" s="52" t="str">
        <x:v>Peak Access Days</x:v>
      </x:c>
      <x:c r="B10" s="52"/>
      <x:c r="C10" s="52"/>
      <x:c r="D10" s="52" t="str">
        <x:v>Lowest Call Answer</x:v>
      </x:c>
      <x:c r="E10" s="52"/>
      <x:c r="F10" s="52"/>
      <x:c r="G10" s="52" t="str">
        <x:v>Peak Provider Util.</x:v>
      </x:c>
      <x:c r="H10" s="52"/>
      <x:c r="I10" s="52"/>
      <x:c r="J10" s="52" t="str">
        <x:v>Year-End Patient Exp.</x:v>
      </x:c>
      <x:c r="K10" s="52"/>
      <x:c r="L10" s="52"/>
      <x:c r="N10" s="10" t="str">
        <x:v>Sep</x:v>
      </x:c>
      <x:c r="O10" t="n">
        <x:v>4390</x:v>
      </x:c>
      <x:c r="P10" t="n">
        <x:v>4350</x:v>
      </x:c>
      <x:c r="Q10"/>
      <x:c r="R10" t="str">
        <x:v>Sep</x:v>
      </x:c>
      <x:c r="S10" t="n">
        <x:v>94</x:v>
      </x:c>
      <x:c r="T10" t="n">
        <x:v>94</x:v>
      </x:c>
      <x:c r="V10" t="str">
        <x:v>Sep</x:v>
      </x:c>
      <x:c r="W10" t="n">
        <x:v>9</x:v>
      </x:c>
      <x:c r="Y10" t="str">
        <x:v>Sep</x:v>
      </x:c>
      <x:c r="Z10" t="n">
        <x:v>77</x:v>
      </x:c>
    </x:row>
    <x:row r="11" ht="28" customHeight="1">
      <x:c r="A11" s="144" t="n">
        <x:f>MAX(Data!D2:D13)</x:f>
        <x:v>12</x:v>
      </x:c>
      <x:c r="B11" s="145"/>
      <x:c r="C11" s="146"/>
      <x:c r="D11" s="156" t="n">
        <x:f>MIN(Data!G2:G13)/100</x:f>
        <x:v>0.72</x:v>
      </x:c>
      <x:c r="E11" s="157"/>
      <x:c r="F11" s="158"/>
      <x:c r="G11" s="156" t="n">
        <x:f>MAX(Data!E2:E13)/100</x:f>
        <x:v>0.96</x:v>
      </x:c>
      <x:c r="H11" s="157"/>
      <x:c r="I11" s="158"/>
      <x:c r="J11" s="156" t="n">
        <x:f>Data!H13/100</x:f>
        <x:v>0.96</x:v>
      </x:c>
      <x:c r="K11" s="157"/>
      <x:c r="L11" s="158"/>
      <x:c r="N11" s="10" t="str">
        <x:v>Oct</x:v>
      </x:c>
      <x:c r="O11" t="n">
        <x:v>4310</x:v>
      </x:c>
      <x:c r="P11" t="n">
        <x:v>4300</x:v>
      </x:c>
      <x:c r="Q11"/>
      <x:c r="R11" t="str">
        <x:v>Oct</x:v>
      </x:c>
      <x:c r="S11" t="n">
        <x:v>91</x:v>
      </x:c>
      <x:c r="T11" t="n">
        <x:v>92</x:v>
      </x:c>
      <x:c r="V11" t="str">
        <x:v>Oct</x:v>
      </x:c>
      <x:c r="W11" t="n">
        <x:v>7</x:v>
      </x:c>
      <x:c r="Y11" t="str">
        <x:v>Oct</x:v>
      </x:c>
      <x:c r="Z11" t="n">
        <x:v>80</x:v>
      </x:c>
    </x:row>
    <x:row r="12" ht="28" customHeight="1">
      <x:c r="A12" s="144"/>
      <x:c r="B12" s="145"/>
      <x:c r="C12" s="146"/>
      <x:c r="D12" s="156"/>
      <x:c r="E12" s="157"/>
      <x:c r="F12" s="158"/>
      <x:c r="G12" s="156"/>
      <x:c r="H12" s="157"/>
      <x:c r="I12" s="158"/>
      <x:c r="J12" s="156"/>
      <x:c r="K12" s="157"/>
      <x:c r="L12" s="158"/>
      <x:c r="N12" s="10" t="str">
        <x:v>Nov</x:v>
      </x:c>
      <x:c r="O12" t="n">
        <x:v>4180</x:v>
      </x:c>
      <x:c r="P12" t="n">
        <x:v>4200</x:v>
      </x:c>
      <x:c r="Q12"/>
      <x:c r="R12" t="str">
        <x:v>Nov</x:v>
      </x:c>
      <x:c r="S12" t="n">
        <x:v>88</x:v>
      </x:c>
      <x:c r="T12" t="n">
        <x:v>90</x:v>
      </x:c>
      <x:c r="V12" t="str">
        <x:v>Nov</x:v>
      </x:c>
      <x:c r="W12" t="n">
        <x:v>6</x:v>
      </x:c>
      <x:c r="Y12" t="str">
        <x:v>Nov</x:v>
      </x:c>
      <x:c r="Z12" t="n">
        <x:v>83</x:v>
      </x:c>
    </x:row>
    <x:row r="13" ht="28" customHeight="1">
      <x:c r="A13" s="147"/>
      <x:c r="B13" s="148"/>
      <x:c r="C13" s="149"/>
      <x:c r="D13" s="159"/>
      <x:c r="E13" s="160"/>
      <x:c r="F13" s="161"/>
      <x:c r="G13" s="159"/>
      <x:c r="H13" s="160"/>
      <x:c r="I13" s="161"/>
      <x:c r="J13" s="159"/>
      <x:c r="K13" s="160"/>
      <x:c r="L13" s="161"/>
      <x:c r="N13" s="10" t="str">
        <x:v>Dec</x:v>
      </x:c>
      <x:c r="O13" t="n">
        <x:v>4125</x:v>
      </x:c>
      <x:c r="P13" t="n">
        <x:v>4100</x:v>
      </x:c>
      <x:c r="Q13"/>
      <x:c r="R13" t="str">
        <x:v>Dec</x:v>
      </x:c>
      <x:c r="S13" t="n">
        <x:v>86</x:v>
      </x:c>
      <x:c r="T13" t="n">
        <x:v>89</x:v>
      </x:c>
      <x:c r="V13" t="str">
        <x:v>Dec</x:v>
      </x:c>
      <x:c r="W13" t="n">
        <x:v>5</x:v>
      </x:c>
      <x:c r="Y13" t="str">
        <x:v>Dec</x:v>
      </x:c>
      <x:c r="Z13" t="n">
        <x:v>86</x:v>
      </x:c>
    </x:row>
    <x:row r="14" ht="20" customHeight="1"/>
    <x:row r="15" ht="20" customHeight="1">
      <x:c r="A15" s="168" t="str">
        <x:v>Demand &amp; Capacity</x:v>
      </x:c>
      <x:c r="B15" s="168"/>
      <x:c r="C15" s="168"/>
      <x:c r="D15" s="168"/>
      <x:c r="E15" s="168"/>
      <x:c r="F15" s="168"/>
      <x:c r="G15" s="168" t="str">
        <x:v>Access &amp; Experience</x:v>
      </x:c>
      <x:c r="H15" s="168"/>
      <x:c r="I15" s="168"/>
      <x:c r="J15" s="168"/>
      <x:c r="K15" s="168"/>
      <x:c r="L15" s="168"/>
    </x:row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>
      <x:c r="A47" s="170" t="str">
        <x:v>Executive Takeaways</x:v>
      </x:c>
      <x:c r="B47" s="170"/>
      <x:c r="C47" s="170"/>
      <x:c r="D47" s="170"/>
      <x:c r="E47" s="170"/>
      <x:c r="F47" s="170"/>
      <x:c r="G47" s="170"/>
      <x:c r="H47" s="170"/>
      <x:c r="I47" s="170"/>
      <x:c r="J47" s="170"/>
      <x:c r="K47" s="170"/>
      <x:c r="L47" s="170"/>
    </x:row>
    <x:row r="48" ht="20" customHeight="1">
      <x:c r="A48" s="176" t="str">
        <x:v>1. Demand outpaced capacity midyear: visits rose while provider/template utilization approached practical capacity and new-patient access peaked at 12 days.</x:v>
      </x:c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</x:row>
    <x:row r="49" ht="20" customHeight="1">
      <x:c r="A49" s="177"/>
      <x:c r="B49" s="177"/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</x:row>
    <x:row r="50" ht="20" customHeight="1">
      <x:c r="A50" s="176" t="str">
        <x:v>2. Access pressure extended beyond provider schedules: call answer rate fell to 72% and ease of scheduling declined during the same period.</x:v>
      </x:c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</x:row>
    <x:row r="51" ht="20" customHeight="1">
      <x:c r="A51" s="177"/>
      <x:c r="B51" s="177"/>
      <x:c r="C51" s="177"/>
      <x:c r="D51" s="177"/>
      <x:c r="E51" s="177"/>
      <x:c r="F51" s="177"/>
      <x:c r="G51" s="177"/>
      <x:c r="H51" s="177"/>
      <x:c r="I51" s="177"/>
      <x:c r="J51" s="177"/>
      <x:c r="K51" s="177"/>
      <x:c r="L51" s="177"/>
    </x:row>
    <x:row r="52" ht="20" customHeight="1">
      <x:c r="A52" s="176" t="str">
        <x:v>3. Core patient experience remained resilient, suggesting the primary issue was access infrastructure rather than the care-team experience.</x:v>
      </x:c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</x:row>
    <x:row r="53" ht="20" customHeight="1">
      <x:c r="A53" s="177"/>
      <x:c r="B53" s="177"/>
      <x:c r="C53" s="177"/>
      <x:c r="D53" s="177"/>
      <x:c r="E53" s="177"/>
      <x:c r="F53" s="177"/>
      <x:c r="G53" s="177"/>
      <x:c r="H53" s="177"/>
      <x:c r="I53" s="177"/>
      <x:c r="J53" s="177"/>
      <x:c r="K53" s="177"/>
      <x:c r="L53" s="177"/>
    </x:row>
    <x:row r="54" ht="20" customHeight="1">
      <x:c r="A54" s="176" t="str">
        <x:v>4. Performance recovered by year-end, but leadership should determine whether the improvement reflects sustainable operational changes or seasonal demand.</x:v>
      </x:c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</x:row>
    <x:row r="55" ht="20" customHeight="1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</x:row>
    <x:row r="56" ht="20" customHeight="1"/>
    <x:row r="57" ht="20" customHeight="1">
      <x:c r="A57" s="188" t="str">
        <x:v>Portfolio note: All data is synthetic. No patient data, PHI, employer information, or proprietary organizational data is included.</x:v>
      </x:c>
      <x:c r="B57" s="188"/>
      <x:c r="C57" s="188"/>
      <x:c r="D57" s="188"/>
      <x:c r="E57" s="188"/>
      <x:c r="F57" s="188"/>
      <x:c r="G57" s="188"/>
      <x:c r="H57" s="188"/>
      <x:c r="I57" s="188"/>
      <x:c r="J57" s="188"/>
      <x:c r="K57" s="188"/>
      <x:c r="L57" s="188"/>
    </x:row>
    <x:row r="58" ht="20" customHeight="1">
      <x:c r="A58" s="188"/>
      <x:c r="B58" s="188"/>
      <x:c r="C58" s="188"/>
      <x:c r="D58" s="188"/>
      <x:c r="E58" s="188"/>
      <x:c r="F58" s="188"/>
      <x:c r="G58" s="188"/>
      <x:c r="H58" s="188"/>
      <x:c r="I58" s="188"/>
      <x:c r="J58" s="188"/>
      <x:c r="K58" s="188"/>
      <x:c r="L58" s="188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15:F15"/>
    <x:mergeCell ref="G15:L15"/>
    <x:mergeCell ref="A47:L47"/>
    <x:mergeCell ref="A48:L49"/>
    <x:mergeCell ref="A50:L51"/>
    <x:mergeCell ref="A52:L53"/>
    <x:mergeCell ref="A54:L55"/>
    <x:mergeCell ref="A57:L58"/>
  </x:mergeCells>
  <x:pageMargins left="0.7" right="0.7" top="0.75" bottom="0.75" header="0.3" footer="0.3"/>
  <x:drawing xmlns:r="http://schemas.openxmlformats.org/officeDocument/2006/relationships" r:id="Rdac3d517092f4b01"/>
</x:worksheet>
</file>